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8" windowWidth="14808" windowHeight="8028" activeTab="1"/>
  </bookViews>
  <sheets>
    <sheet name="MLR_1" sheetId="10" r:id="rId1"/>
    <sheet name="MLR_2" sheetId="14" r:id="rId2"/>
  </sheets>
  <calcPr calcId="145621"/>
</workbook>
</file>

<file path=xl/calcChain.xml><?xml version="1.0" encoding="utf-8"?>
<calcChain xmlns="http://schemas.openxmlformats.org/spreadsheetml/2006/main">
  <c r="H23" i="14" l="1"/>
  <c r="H24" i="14"/>
  <c r="H25" i="14"/>
  <c r="H26" i="14"/>
  <c r="H27" i="14"/>
  <c r="H28" i="14"/>
  <c r="H22" i="14"/>
  <c r="H4" i="10" l="1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3" i="10"/>
</calcChain>
</file>

<file path=xl/sharedStrings.xml><?xml version="1.0" encoding="utf-8"?>
<sst xmlns="http://schemas.openxmlformats.org/spreadsheetml/2006/main" count="36" uniqueCount="17">
  <si>
    <t>Y</t>
  </si>
  <si>
    <t>T</t>
  </si>
  <si>
    <t>X1</t>
  </si>
  <si>
    <t>X2</t>
  </si>
  <si>
    <t>X0</t>
  </si>
  <si>
    <t>W</t>
  </si>
  <si>
    <t>W0</t>
  </si>
  <si>
    <t>W1</t>
  </si>
  <si>
    <t>W2</t>
  </si>
  <si>
    <t xml:space="preserve">RMSE = </t>
  </si>
  <si>
    <t xml:space="preserve">MAPE (%) = </t>
  </si>
  <si>
    <t xml:space="preserve">R^2 = </t>
  </si>
  <si>
    <t>Actual T</t>
  </si>
  <si>
    <t xml:space="preserve">Predicted Y </t>
  </si>
  <si>
    <t>Floor</t>
  </si>
  <si>
    <t>Floor Area (m2)</t>
  </si>
  <si>
    <t>Time (month)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</si>
</sst>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E66126"/>
      <color rgb="FFABE824"/>
      <color rgb="FF4B9CC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MLR_1!$D$2</c:f>
              <c:strCache>
                <c:ptCount val="1"/>
                <c:pt idx="0">
                  <c:v>Actual T</c:v>
                </c:pt>
              </c:strCache>
            </c:strRef>
          </c:tx>
          <c:val>
            <c:numRef>
              <c:f>MLR_1!$D$3:$D$22</c:f>
              <c:numCache>
                <c:formatCode>0.000</c:formatCode>
                <c:ptCount val="20"/>
                <c:pt idx="0">
                  <c:v>4.014442476484045</c:v>
                </c:pt>
                <c:pt idx="1">
                  <c:v>3.0686578555732886</c:v>
                </c:pt>
                <c:pt idx="2">
                  <c:v>4.0006005159357771</c:v>
                </c:pt>
                <c:pt idx="3">
                  <c:v>4.5923819257205363</c:v>
                </c:pt>
                <c:pt idx="4">
                  <c:v>1.2244652529815441</c:v>
                </c:pt>
                <c:pt idx="5">
                  <c:v>3.1468006599187817</c:v>
                </c:pt>
                <c:pt idx="6">
                  <c:v>4.3914791666937418</c:v>
                </c:pt>
                <c:pt idx="7">
                  <c:v>-4.4058541631097894</c:v>
                </c:pt>
                <c:pt idx="8">
                  <c:v>5.6983690968074008</c:v>
                </c:pt>
                <c:pt idx="9">
                  <c:v>-0.85429931336000298</c:v>
                </c:pt>
                <c:pt idx="10">
                  <c:v>-3.6949514216194914</c:v>
                </c:pt>
                <c:pt idx="11">
                  <c:v>3.5662446640738308</c:v>
                </c:pt>
                <c:pt idx="12">
                  <c:v>-0.18601028223584387</c:v>
                </c:pt>
                <c:pt idx="13">
                  <c:v>-0.58540520388466932</c:v>
                </c:pt>
                <c:pt idx="14">
                  <c:v>2.5055238606952122</c:v>
                </c:pt>
                <c:pt idx="15">
                  <c:v>4.1055447519012596</c:v>
                </c:pt>
                <c:pt idx="16">
                  <c:v>1.5174278119354965</c:v>
                </c:pt>
                <c:pt idx="17">
                  <c:v>2.3990772865016283</c:v>
                </c:pt>
                <c:pt idx="18">
                  <c:v>0.95881419866852702</c:v>
                </c:pt>
                <c:pt idx="19">
                  <c:v>-6.0630062700879481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MLR_1!$H$2</c:f>
              <c:strCache>
                <c:ptCount val="1"/>
                <c:pt idx="0">
                  <c:v>Predicted Y </c:v>
                </c:pt>
              </c:strCache>
            </c:strRef>
          </c:tx>
          <c:val>
            <c:numRef>
              <c:f>MLR_1!$H$3:$H$22</c:f>
              <c:numCache>
                <c:formatCode>0.000</c:formatCode>
                <c:ptCount val="20"/>
                <c:pt idx="0">
                  <c:v>3.8679141369434937</c:v>
                </c:pt>
                <c:pt idx="1">
                  <c:v>3.1706480404947959</c:v>
                </c:pt>
                <c:pt idx="2">
                  <c:v>3.8097354662668415</c:v>
                </c:pt>
                <c:pt idx="3">
                  <c:v>4.2895057933296918</c:v>
                </c:pt>
                <c:pt idx="4">
                  <c:v>1.3790492320462051</c:v>
                </c:pt>
                <c:pt idx="5">
                  <c:v>3.0902241054209014</c:v>
                </c:pt>
                <c:pt idx="6">
                  <c:v>4.8454862407490902</c:v>
                </c:pt>
                <c:pt idx="7">
                  <c:v>-4.185918635203941</c:v>
                </c:pt>
                <c:pt idx="8">
                  <c:v>5.828215236026864</c:v>
                </c:pt>
                <c:pt idx="9">
                  <c:v>-0.56417102820146381</c:v>
                </c:pt>
                <c:pt idx="10">
                  <c:v>-4.2437484376378229</c:v>
                </c:pt>
                <c:pt idx="11">
                  <c:v>3.3651020199266979</c:v>
                </c:pt>
                <c:pt idx="12">
                  <c:v>-0.4074438406893644</c:v>
                </c:pt>
                <c:pt idx="13">
                  <c:v>-1.0033705754096536</c:v>
                </c:pt>
                <c:pt idx="14">
                  <c:v>2.982541149605304</c:v>
                </c:pt>
                <c:pt idx="15">
                  <c:v>3.7618987158083517</c:v>
                </c:pt>
                <c:pt idx="16">
                  <c:v>1.6462523888508229</c:v>
                </c:pt>
                <c:pt idx="17">
                  <c:v>2.753729635011775</c:v>
                </c:pt>
                <c:pt idx="18">
                  <c:v>0.55471361613601444</c:v>
                </c:pt>
                <c:pt idx="19">
                  <c:v>-5.540060389881285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390464"/>
        <c:axId val="174481408"/>
      </c:lineChart>
      <c:catAx>
        <c:axId val="379390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74481408"/>
        <c:crosses val="autoZero"/>
        <c:auto val="1"/>
        <c:lblAlgn val="ctr"/>
        <c:lblOffset val="100"/>
        <c:noMultiLvlLbl val="0"/>
      </c:catAx>
      <c:valAx>
        <c:axId val="17448140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9390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215152</xdr:colOff>
      <xdr:row>4</xdr:row>
      <xdr:rowOff>147918</xdr:rowOff>
    </xdr:from>
    <xdr:to>
      <xdr:col>21</xdr:col>
      <xdr:colOff>80681</xdr:colOff>
      <xdr:row>19</xdr:row>
      <xdr:rowOff>116542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H22"/>
  <sheetViews>
    <sheetView zoomScale="85" zoomScaleNormal="85" workbookViewId="0">
      <selection activeCell="H26" sqref="H26"/>
    </sheetView>
  </sheetViews>
  <sheetFormatPr defaultColWidth="8.88671875" defaultRowHeight="14.4" x14ac:dyDescent="0.3"/>
  <cols>
    <col min="1" max="5" width="8.88671875" style="1"/>
    <col min="6" max="6" width="12.33203125" style="1" bestFit="1" customWidth="1"/>
    <col min="7" max="7" width="11.88671875" style="1" bestFit="1" customWidth="1"/>
    <col min="8" max="8" width="13" style="1" bestFit="1" customWidth="1"/>
    <col min="9" max="11" width="8.88671875" style="1"/>
    <col min="12" max="12" width="12.77734375" style="1" bestFit="1" customWidth="1"/>
    <col min="13" max="16384" width="8.88671875" style="1"/>
  </cols>
  <sheetData>
    <row r="1" spans="1:502" x14ac:dyDescent="0.3">
      <c r="GR1"/>
      <c r="GS1"/>
      <c r="GT1"/>
      <c r="GU1" s="1">
        <v>116.34473729262639</v>
      </c>
      <c r="GV1" s="1">
        <v>0</v>
      </c>
      <c r="SF1"/>
      <c r="SG1"/>
      <c r="SH1"/>
    </row>
    <row r="2" spans="1:502" x14ac:dyDescent="0.3">
      <c r="A2" s="2" t="s">
        <v>4</v>
      </c>
      <c r="B2" s="2" t="s">
        <v>2</v>
      </c>
      <c r="C2" s="2" t="s">
        <v>3</v>
      </c>
      <c r="D2" s="2" t="s">
        <v>12</v>
      </c>
      <c r="E2" s="1" t="s">
        <v>6</v>
      </c>
      <c r="F2" s="1" t="s">
        <v>7</v>
      </c>
      <c r="G2" s="1" t="s">
        <v>8</v>
      </c>
      <c r="H2" s="1" t="s">
        <v>13</v>
      </c>
      <c r="I2" s="7" t="s">
        <v>6</v>
      </c>
      <c r="J2" s="8">
        <v>3.188177580215501E-2</v>
      </c>
      <c r="L2" s="9" t="s">
        <v>9</v>
      </c>
      <c r="M2" s="8">
        <v>0.31881090104437426</v>
      </c>
      <c r="GR2"/>
      <c r="GS2"/>
      <c r="GT2"/>
      <c r="GU2" s="1">
        <v>-10.000249700517825</v>
      </c>
      <c r="GV2" s="1">
        <v>0</v>
      </c>
      <c r="SF2"/>
      <c r="SG2"/>
      <c r="SH2"/>
    </row>
    <row r="3" spans="1:502" x14ac:dyDescent="0.3">
      <c r="A3" s="1">
        <v>1</v>
      </c>
      <c r="B3" s="6">
        <v>1.8637000552922807</v>
      </c>
      <c r="C3" s="6">
        <v>-0.84253117469625716</v>
      </c>
      <c r="D3" s="6">
        <v>4.014442476484045</v>
      </c>
      <c r="E3" s="6">
        <v>3.188177580215501E-2</v>
      </c>
      <c r="F3" s="6">
        <v>2.0487824149060048</v>
      </c>
      <c r="G3" s="6">
        <v>-2.1027662514152501E-2</v>
      </c>
      <c r="H3" s="6">
        <f>SUMPRODUCT(A3:C3,E3:G3)</f>
        <v>3.8679141369434937</v>
      </c>
      <c r="I3" s="7" t="s">
        <v>7</v>
      </c>
      <c r="J3" s="8">
        <v>2.0487824149060048</v>
      </c>
      <c r="L3" s="9" t="s">
        <v>10</v>
      </c>
      <c r="M3" s="8">
        <v>17.171325157880965</v>
      </c>
      <c r="GR3"/>
      <c r="GS3"/>
      <c r="GT3"/>
      <c r="GU3" s="1">
        <v>241.54547538484991</v>
      </c>
      <c r="GV3" s="1">
        <v>0</v>
      </c>
      <c r="SF3"/>
      <c r="SG3"/>
      <c r="SH3"/>
    </row>
    <row r="4" spans="1:502" x14ac:dyDescent="0.3">
      <c r="A4" s="1">
        <v>1</v>
      </c>
      <c r="B4" s="6">
        <v>1.5455598913140882</v>
      </c>
      <c r="C4" s="6">
        <v>1.3196741100929525</v>
      </c>
      <c r="D4" s="6">
        <v>3.0686578555732886</v>
      </c>
      <c r="E4" s="6">
        <v>3.188177580215501E-2</v>
      </c>
      <c r="F4" s="6">
        <v>2.0487824149060048</v>
      </c>
      <c r="G4" s="6">
        <v>-2.1027662514152501E-2</v>
      </c>
      <c r="H4" s="6">
        <f t="shared" ref="H4:H22" si="0">SUMPRODUCT(A4:C4,E4:G4)</f>
        <v>3.1706480404947959</v>
      </c>
      <c r="I4" s="7" t="s">
        <v>8</v>
      </c>
      <c r="J4" s="8">
        <v>-2.1027662514152501E-2</v>
      </c>
      <c r="L4" s="9" t="s">
        <v>11</v>
      </c>
      <c r="M4" s="8">
        <v>0.98975020009005854</v>
      </c>
      <c r="GS4" s="1">
        <v>0</v>
      </c>
      <c r="GT4" s="1">
        <v>0</v>
      </c>
      <c r="GU4" s="1">
        <v>0</v>
      </c>
      <c r="GV4" s="1">
        <v>0</v>
      </c>
    </row>
    <row r="5" spans="1:502" x14ac:dyDescent="0.3">
      <c r="A5" s="1">
        <v>1</v>
      </c>
      <c r="B5" s="6">
        <v>1.8361845030249269</v>
      </c>
      <c r="C5" s="6">
        <v>-0.7566780251293066</v>
      </c>
      <c r="D5" s="6">
        <v>4.0006005159357771</v>
      </c>
      <c r="E5" s="6">
        <v>3.188177580215501E-2</v>
      </c>
      <c r="F5" s="6">
        <v>2.0487824149060048</v>
      </c>
      <c r="G5" s="6">
        <v>-2.1027662514152501E-2</v>
      </c>
      <c r="H5" s="6">
        <f t="shared" si="0"/>
        <v>3.8097354662668415</v>
      </c>
      <c r="L5" s="4"/>
    </row>
    <row r="6" spans="1:502" x14ac:dyDescent="0.3">
      <c r="A6" s="1">
        <v>1</v>
      </c>
      <c r="B6" s="6">
        <v>2.0737266393346543</v>
      </c>
      <c r="C6" s="6">
        <v>-0.42845207024346266</v>
      </c>
      <c r="D6" s="6">
        <v>4.5923819257205363</v>
      </c>
      <c r="E6" s="6">
        <v>3.188177580215501E-2</v>
      </c>
      <c r="F6" s="6">
        <v>2.0487824149060048</v>
      </c>
      <c r="G6" s="6">
        <v>-2.1027662514152501E-2</v>
      </c>
      <c r="H6" s="6">
        <f t="shared" si="0"/>
        <v>4.2895057933296918</v>
      </c>
      <c r="L6" s="4"/>
    </row>
    <row r="7" spans="1:502" x14ac:dyDescent="0.3">
      <c r="A7" s="1">
        <v>1</v>
      </c>
      <c r="B7" s="6">
        <v>0.67230174643268459</v>
      </c>
      <c r="C7" s="6">
        <v>1.4377508359515625</v>
      </c>
      <c r="D7" s="6">
        <v>1.2244652529815441</v>
      </c>
      <c r="E7" s="6">
        <v>3.188177580215501E-2</v>
      </c>
      <c r="F7" s="6">
        <v>2.0487824149060048</v>
      </c>
      <c r="G7" s="6">
        <v>-2.1027662514152501E-2</v>
      </c>
      <c r="H7" s="6">
        <f t="shared" si="0"/>
        <v>1.3790492320462051</v>
      </c>
      <c r="L7" s="4"/>
    </row>
    <row r="8" spans="1:502" x14ac:dyDescent="0.3">
      <c r="A8" s="1">
        <v>1</v>
      </c>
      <c r="B8" s="6">
        <v>1.5040234599804716</v>
      </c>
      <c r="C8" s="6">
        <v>1.0973396010991938</v>
      </c>
      <c r="D8" s="6">
        <v>3.1468006599187817</v>
      </c>
      <c r="E8" s="6">
        <v>3.188177580215501E-2</v>
      </c>
      <c r="F8" s="6">
        <v>2.0487824149060048</v>
      </c>
      <c r="G8" s="6">
        <v>-2.1027662514152501E-2</v>
      </c>
      <c r="H8" s="6">
        <f t="shared" si="0"/>
        <v>3.0902241054209014</v>
      </c>
    </row>
    <row r="9" spans="1:502" x14ac:dyDescent="0.3">
      <c r="A9" s="1">
        <v>1</v>
      </c>
      <c r="B9" s="6">
        <v>2.3666887091922808</v>
      </c>
      <c r="C9" s="6">
        <v>1.6752096900495963</v>
      </c>
      <c r="D9" s="6">
        <v>4.3914791666937418</v>
      </c>
      <c r="E9" s="6">
        <v>3.188177580215501E-2</v>
      </c>
      <c r="F9" s="6">
        <v>2.0487824149060048</v>
      </c>
      <c r="G9" s="6">
        <v>-2.1027662514152501E-2</v>
      </c>
      <c r="H9" s="6">
        <f t="shared" si="0"/>
        <v>4.8454862407490902</v>
      </c>
      <c r="J9" s="5"/>
    </row>
    <row r="10" spans="1:502" x14ac:dyDescent="0.3">
      <c r="A10" s="1">
        <v>1</v>
      </c>
      <c r="B10" s="6">
        <v>-2.0749780498642219</v>
      </c>
      <c r="C10" s="6">
        <v>-1.5873437596409774</v>
      </c>
      <c r="D10" s="6">
        <v>-4.4058541631097894</v>
      </c>
      <c r="E10" s="6">
        <v>3.188177580215501E-2</v>
      </c>
      <c r="F10" s="6">
        <v>2.0487824149060048</v>
      </c>
      <c r="G10" s="6">
        <v>-2.1027662514152501E-2</v>
      </c>
      <c r="H10" s="6">
        <f t="shared" si="0"/>
        <v>-4.185918635203941</v>
      </c>
    </row>
    <row r="11" spans="1:502" x14ac:dyDescent="0.3">
      <c r="A11" s="1">
        <v>1</v>
      </c>
      <c r="B11" s="6">
        <v>2.8167979951649258</v>
      </c>
      <c r="C11" s="6">
        <v>-1.2044734582968206</v>
      </c>
      <c r="D11" s="6">
        <v>5.6983690968074008</v>
      </c>
      <c r="E11" s="6">
        <v>3.188177580215501E-2</v>
      </c>
      <c r="F11" s="6">
        <v>2.0487824149060048</v>
      </c>
      <c r="G11" s="6">
        <v>-2.1027662514152501E-2</v>
      </c>
      <c r="H11" s="6">
        <f t="shared" si="0"/>
        <v>5.828215236026864</v>
      </c>
    </row>
    <row r="12" spans="1:502" x14ac:dyDescent="0.3">
      <c r="A12" s="1">
        <v>1</v>
      </c>
      <c r="B12" s="6">
        <v>-0.30705184848912914</v>
      </c>
      <c r="C12" s="6">
        <v>-1.5707701045259559</v>
      </c>
      <c r="D12" s="6">
        <v>-0.85429931336000298</v>
      </c>
      <c r="E12" s="6">
        <v>3.188177580215501E-2</v>
      </c>
      <c r="F12" s="6">
        <v>2.0487824149060048</v>
      </c>
      <c r="G12" s="6">
        <v>-2.1027662514152501E-2</v>
      </c>
      <c r="H12" s="6">
        <f t="shared" si="0"/>
        <v>-0.56417102820146381</v>
      </c>
    </row>
    <row r="13" spans="1:502" x14ac:dyDescent="0.3">
      <c r="A13" s="1">
        <v>1</v>
      </c>
      <c r="B13" s="6">
        <v>-2.083815522577968</v>
      </c>
      <c r="C13" s="6">
        <v>0.30177462044576275</v>
      </c>
      <c r="D13" s="6">
        <v>-3.6949514216194914</v>
      </c>
      <c r="E13" s="6">
        <v>3.188177580215501E-2</v>
      </c>
      <c r="F13" s="6">
        <v>2.0487824149060048</v>
      </c>
      <c r="G13" s="6">
        <v>-2.1027662514152501E-2</v>
      </c>
      <c r="H13" s="6">
        <f t="shared" si="0"/>
        <v>-4.2437484376378229</v>
      </c>
    </row>
    <row r="14" spans="1:502" x14ac:dyDescent="0.3">
      <c r="A14" s="1">
        <v>1</v>
      </c>
      <c r="B14" s="6">
        <v>1.6191545518092862</v>
      </c>
      <c r="C14" s="6">
        <v>-0.75732960579644937</v>
      </c>
      <c r="D14" s="6">
        <v>3.5662446640738308</v>
      </c>
      <c r="E14" s="6">
        <v>3.188177580215501E-2</v>
      </c>
      <c r="F14" s="6">
        <v>2.0487824149060048</v>
      </c>
      <c r="G14" s="6">
        <v>-2.1027662514152501E-2</v>
      </c>
      <c r="H14" s="6">
        <f t="shared" si="0"/>
        <v>3.3651020199266979</v>
      </c>
    </row>
    <row r="15" spans="1:502" x14ac:dyDescent="0.3">
      <c r="A15" s="1">
        <v>1</v>
      </c>
      <c r="B15" s="6">
        <v>-0.22359008495817179</v>
      </c>
      <c r="C15" s="6">
        <v>-0.8922445709548108</v>
      </c>
      <c r="D15" s="6">
        <v>-0.18601028223584387</v>
      </c>
      <c r="E15" s="6">
        <v>3.188177580215501E-2</v>
      </c>
      <c r="F15" s="6">
        <v>2.0487824149060048</v>
      </c>
      <c r="G15" s="6">
        <v>-2.1027662514152501E-2</v>
      </c>
      <c r="H15" s="6">
        <f t="shared" si="0"/>
        <v>-0.4074438406893644</v>
      </c>
    </row>
    <row r="16" spans="1:502" x14ac:dyDescent="0.3">
      <c r="A16" s="1">
        <v>1</v>
      </c>
      <c r="B16" s="6">
        <v>-0.49981313146122019</v>
      </c>
      <c r="C16" s="6">
        <v>0.53472404397729267</v>
      </c>
      <c r="D16" s="6">
        <v>-0.58540520388466932</v>
      </c>
      <c r="E16" s="6">
        <v>3.188177580215501E-2</v>
      </c>
      <c r="F16" s="6">
        <v>2.0487824149060048</v>
      </c>
      <c r="G16" s="6">
        <v>-2.1027662514152501E-2</v>
      </c>
      <c r="H16" s="6">
        <f t="shared" si="0"/>
        <v>-1.0033705754096536</v>
      </c>
    </row>
    <row r="17" spans="1:8" x14ac:dyDescent="0.3">
      <c r="A17" s="1">
        <v>1</v>
      </c>
      <c r="B17" s="6">
        <v>1.4230220108508016</v>
      </c>
      <c r="C17" s="6">
        <v>-1.6738380656507079</v>
      </c>
      <c r="D17" s="6">
        <v>2.5055238606952122</v>
      </c>
      <c r="E17" s="6">
        <v>3.188177580215501E-2</v>
      </c>
      <c r="F17" s="6">
        <v>2.0487824149060048</v>
      </c>
      <c r="G17" s="6">
        <v>-2.1027662514152501E-2</v>
      </c>
      <c r="H17" s="6">
        <f t="shared" si="0"/>
        <v>2.982541149605304</v>
      </c>
    </row>
    <row r="18" spans="1:8" x14ac:dyDescent="0.3">
      <c r="A18" s="1">
        <v>1</v>
      </c>
      <c r="B18" s="6">
        <v>1.8245087950267722</v>
      </c>
      <c r="C18" s="6">
        <v>0.38066975255149371</v>
      </c>
      <c r="D18" s="6">
        <v>4.1055447519012596</v>
      </c>
      <c r="E18" s="6">
        <v>3.188177580215501E-2</v>
      </c>
      <c r="F18" s="6">
        <v>2.0487824149060048</v>
      </c>
      <c r="G18" s="6">
        <v>-2.1027662514152501E-2</v>
      </c>
      <c r="H18" s="6">
        <f t="shared" si="0"/>
        <v>3.7618987158083517</v>
      </c>
    </row>
    <row r="19" spans="1:8" x14ac:dyDescent="0.3">
      <c r="A19" s="1">
        <v>1</v>
      </c>
      <c r="B19" s="6">
        <v>0.80232525625505602</v>
      </c>
      <c r="C19" s="6">
        <v>1.399074337522987</v>
      </c>
      <c r="D19" s="6">
        <v>1.5174278119354965</v>
      </c>
      <c r="E19" s="6">
        <v>3.188177580215501E-2</v>
      </c>
      <c r="F19" s="6">
        <v>2.0487824149060048</v>
      </c>
      <c r="G19" s="6">
        <v>-2.1027662514152501E-2</v>
      </c>
      <c r="H19" s="6">
        <f t="shared" si="0"/>
        <v>1.6462523888508229</v>
      </c>
    </row>
    <row r="20" spans="1:8" x14ac:dyDescent="0.3">
      <c r="A20" s="1">
        <v>1</v>
      </c>
      <c r="B20" s="6">
        <v>1.3125531629774176</v>
      </c>
      <c r="C20" s="6">
        <v>-1.5556660304118481</v>
      </c>
      <c r="D20" s="6">
        <v>2.3990772865016283</v>
      </c>
      <c r="E20" s="6">
        <v>3.188177580215501E-2</v>
      </c>
      <c r="F20" s="6">
        <v>2.0487824149060048</v>
      </c>
      <c r="G20" s="6">
        <v>-2.1027662514152501E-2</v>
      </c>
      <c r="H20" s="6">
        <f t="shared" si="0"/>
        <v>2.753729635011775</v>
      </c>
    </row>
    <row r="21" spans="1:8" x14ac:dyDescent="0.3">
      <c r="A21" s="1">
        <v>1</v>
      </c>
      <c r="B21" s="6">
        <v>0.25981236336166891</v>
      </c>
      <c r="C21" s="6">
        <v>0.45022412216884033</v>
      </c>
      <c r="D21" s="6">
        <v>0.95881419866852702</v>
      </c>
      <c r="E21" s="6">
        <v>3.188177580215501E-2</v>
      </c>
      <c r="F21" s="6">
        <v>2.0487824149060048</v>
      </c>
      <c r="G21" s="6">
        <v>-2.1027662514152501E-2</v>
      </c>
      <c r="H21" s="6">
        <f t="shared" si="0"/>
        <v>0.55471361613601444</v>
      </c>
    </row>
    <row r="22" spans="1:8" x14ac:dyDescent="0.3">
      <c r="A22" s="1">
        <v>1</v>
      </c>
      <c r="B22" s="6">
        <v>-2.6994176601795212</v>
      </c>
      <c r="C22" s="6">
        <v>1.9699161993419128</v>
      </c>
      <c r="D22" s="6">
        <v>-6.0630062700879481</v>
      </c>
      <c r="E22" s="6">
        <v>3.188177580215501E-2</v>
      </c>
      <c r="F22" s="6">
        <v>2.0487824149060048</v>
      </c>
      <c r="G22" s="6">
        <v>-2.1027662514152501E-2</v>
      </c>
      <c r="H22" s="6">
        <f t="shared" si="0"/>
        <v>-5.540060389881285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H28"/>
  <sheetViews>
    <sheetView tabSelected="1" zoomScaleNormal="100" workbookViewId="0">
      <selection activeCell="A30" sqref="A30"/>
    </sheetView>
  </sheetViews>
  <sheetFormatPr defaultRowHeight="14.4" x14ac:dyDescent="0.3"/>
  <cols>
    <col min="1" max="2" width="13.6640625" style="1" bestFit="1" customWidth="1"/>
    <col min="3" max="3" width="12" style="1" bestFit="1" customWidth="1"/>
    <col min="4" max="7" width="8.88671875" style="1"/>
    <col min="8" max="8" width="10.6640625" style="1" bestFit="1" customWidth="1"/>
    <col min="9" max="16384" width="8.88671875" style="1"/>
  </cols>
  <sheetData>
    <row r="1" spans="1:502" x14ac:dyDescent="0.3">
      <c r="GR1"/>
      <c r="GS1"/>
      <c r="GT1"/>
      <c r="SF1"/>
      <c r="SG1"/>
      <c r="SH1"/>
    </row>
    <row r="2" spans="1:502" x14ac:dyDescent="0.3">
      <c r="A2" s="7" t="s">
        <v>15</v>
      </c>
      <c r="B2" s="7" t="s">
        <v>14</v>
      </c>
      <c r="C2" s="7" t="s">
        <v>16</v>
      </c>
      <c r="GR2"/>
      <c r="GS2"/>
      <c r="GT2"/>
      <c r="SF2"/>
      <c r="SG2"/>
      <c r="SH2"/>
    </row>
    <row r="3" spans="1:502" x14ac:dyDescent="0.3">
      <c r="A3" s="7">
        <v>200</v>
      </c>
      <c r="B3" s="7">
        <v>3</v>
      </c>
      <c r="C3" s="10">
        <v>12.57621868809475</v>
      </c>
      <c r="I3" s="3"/>
      <c r="GR3"/>
      <c r="GS3"/>
      <c r="GT3"/>
      <c r="SF3"/>
      <c r="SG3"/>
      <c r="SH3"/>
    </row>
    <row r="4" spans="1:502" x14ac:dyDescent="0.3">
      <c r="A4" s="7">
        <v>150</v>
      </c>
      <c r="B4" s="7">
        <v>3</v>
      </c>
      <c r="C4" s="10">
        <v>9.635531355359312</v>
      </c>
      <c r="I4" s="3"/>
    </row>
    <row r="5" spans="1:502" x14ac:dyDescent="0.3">
      <c r="A5" s="7">
        <v>120</v>
      </c>
      <c r="B5" s="7">
        <v>4</v>
      </c>
      <c r="C5" s="10">
        <v>10.162698140472378</v>
      </c>
      <c r="I5" s="3"/>
    </row>
    <row r="6" spans="1:502" x14ac:dyDescent="0.3">
      <c r="A6" s="7">
        <v>100</v>
      </c>
      <c r="B6" s="7">
        <v>5</v>
      </c>
      <c r="C6" s="10">
        <v>10.889444888198959</v>
      </c>
      <c r="I6" s="3"/>
    </row>
    <row r="7" spans="1:502" x14ac:dyDescent="0.3">
      <c r="A7" s="7">
        <v>80</v>
      </c>
      <c r="B7" s="7">
        <v>6</v>
      </c>
      <c r="C7" s="10">
        <v>10.207181811643041</v>
      </c>
      <c r="I7" s="3"/>
    </row>
    <row r="8" spans="1:502" x14ac:dyDescent="0.3">
      <c r="A8" s="7">
        <v>100</v>
      </c>
      <c r="B8" s="7">
        <v>5</v>
      </c>
      <c r="C8" s="10">
        <v>10.851869375521689</v>
      </c>
      <c r="I8" s="3"/>
    </row>
    <row r="9" spans="1:502" x14ac:dyDescent="0.3">
      <c r="A9" s="7">
        <v>180</v>
      </c>
      <c r="B9" s="7">
        <v>4</v>
      </c>
      <c r="C9" s="10">
        <v>14.948285630912647</v>
      </c>
      <c r="I9" s="3"/>
    </row>
    <row r="10" spans="1:502" x14ac:dyDescent="0.3">
      <c r="H10" s="7"/>
      <c r="I10" s="7" t="s">
        <v>5</v>
      </c>
    </row>
    <row r="11" spans="1:502" x14ac:dyDescent="0.3">
      <c r="A11" s="7" t="s">
        <v>4</v>
      </c>
      <c r="B11" s="7" t="s">
        <v>2</v>
      </c>
      <c r="C11" s="7" t="s">
        <v>3</v>
      </c>
      <c r="D11" s="7" t="s">
        <v>1</v>
      </c>
      <c r="H11" s="7" t="s">
        <v>6</v>
      </c>
      <c r="I11" s="7">
        <v>-6.9772757541572545</v>
      </c>
    </row>
    <row r="12" spans="1:502" x14ac:dyDescent="0.3">
      <c r="A12" s="7">
        <v>1</v>
      </c>
      <c r="B12" s="7">
        <v>200</v>
      </c>
      <c r="C12" s="7">
        <v>3</v>
      </c>
      <c r="D12" s="10">
        <v>12.57621868809475</v>
      </c>
      <c r="H12" s="7" t="s">
        <v>7</v>
      </c>
      <c r="I12" s="7">
        <v>7.0839518666176451E-2</v>
      </c>
    </row>
    <row r="13" spans="1:502" x14ac:dyDescent="0.3">
      <c r="A13" s="7">
        <v>1</v>
      </c>
      <c r="B13" s="7">
        <v>150</v>
      </c>
      <c r="C13" s="7">
        <v>3</v>
      </c>
      <c r="D13" s="10">
        <v>9.635531355359312</v>
      </c>
      <c r="H13" s="7" t="s">
        <v>8</v>
      </c>
      <c r="I13" s="7">
        <v>2.0743802603253458</v>
      </c>
    </row>
    <row r="14" spans="1:502" x14ac:dyDescent="0.3">
      <c r="A14" s="7">
        <v>1</v>
      </c>
      <c r="B14" s="7">
        <v>120</v>
      </c>
      <c r="C14" s="7">
        <v>4</v>
      </c>
      <c r="D14" s="10">
        <v>10.162698140472378</v>
      </c>
    </row>
    <row r="15" spans="1:502" x14ac:dyDescent="0.3">
      <c r="A15" s="7">
        <v>1</v>
      </c>
      <c r="B15" s="7">
        <v>100</v>
      </c>
      <c r="C15" s="7">
        <v>5</v>
      </c>
      <c r="D15" s="10">
        <v>10.889444888198959</v>
      </c>
      <c r="H15" s="9" t="s">
        <v>9</v>
      </c>
      <c r="I15" s="8">
        <v>0.63406282851980322</v>
      </c>
    </row>
    <row r="16" spans="1:502" x14ac:dyDescent="0.3">
      <c r="A16" s="7">
        <v>1</v>
      </c>
      <c r="B16" s="7">
        <v>80</v>
      </c>
      <c r="C16" s="7">
        <v>6</v>
      </c>
      <c r="D16" s="10">
        <v>10.207181811643041</v>
      </c>
      <c r="H16" s="9" t="s">
        <v>10</v>
      </c>
      <c r="I16" s="8">
        <v>4.882022591771408</v>
      </c>
    </row>
    <row r="17" spans="1:9" x14ac:dyDescent="0.3">
      <c r="A17" s="7">
        <v>1</v>
      </c>
      <c r="B17" s="7">
        <v>100</v>
      </c>
      <c r="C17" s="7">
        <v>5</v>
      </c>
      <c r="D17" s="10">
        <v>10.851869375521689</v>
      </c>
      <c r="H17" s="9" t="s">
        <v>11</v>
      </c>
      <c r="I17" s="8">
        <v>0.86313395217724853</v>
      </c>
    </row>
    <row r="18" spans="1:9" x14ac:dyDescent="0.3">
      <c r="A18" s="7">
        <v>1</v>
      </c>
      <c r="B18" s="7">
        <v>180</v>
      </c>
      <c r="C18" s="7">
        <v>4</v>
      </c>
      <c r="D18" s="10">
        <v>14.948285630912647</v>
      </c>
    </row>
    <row r="21" spans="1:9" x14ac:dyDescent="0.3">
      <c r="A21" s="7" t="s">
        <v>4</v>
      </c>
      <c r="B21" s="7" t="s">
        <v>2</v>
      </c>
      <c r="C21" s="7" t="s">
        <v>3</v>
      </c>
      <c r="D21" s="7" t="s">
        <v>1</v>
      </c>
      <c r="E21" s="7" t="s">
        <v>6</v>
      </c>
      <c r="F21" s="7" t="s">
        <v>7</v>
      </c>
      <c r="G21" s="7" t="s">
        <v>8</v>
      </c>
      <c r="H21" s="7" t="s">
        <v>0</v>
      </c>
    </row>
    <row r="22" spans="1:9" x14ac:dyDescent="0.3">
      <c r="A22" s="7">
        <v>1</v>
      </c>
      <c r="B22" s="7">
        <v>200</v>
      </c>
      <c r="C22" s="7">
        <v>3</v>
      </c>
      <c r="D22" s="10">
        <v>12.57621868809475</v>
      </c>
      <c r="E22" s="7">
        <v>-6.9772757541572545</v>
      </c>
      <c r="F22" s="7">
        <v>7.0839518666176451E-2</v>
      </c>
      <c r="G22" s="7">
        <v>2.0743802603253458</v>
      </c>
      <c r="H22" s="7">
        <f>SUMPRODUCT(A22:C22,E22:G22)</f>
        <v>13.413768760054072</v>
      </c>
    </row>
    <row r="23" spans="1:9" x14ac:dyDescent="0.3">
      <c r="A23" s="7">
        <v>1</v>
      </c>
      <c r="B23" s="7">
        <v>150</v>
      </c>
      <c r="C23" s="7">
        <v>3</v>
      </c>
      <c r="D23" s="10">
        <v>9.635531355359312</v>
      </c>
      <c r="E23" s="7">
        <v>-6.9772757541572545</v>
      </c>
      <c r="F23" s="7">
        <v>7.0839518666176451E-2</v>
      </c>
      <c r="G23" s="7">
        <v>2.0743802603253458</v>
      </c>
      <c r="H23" s="7">
        <f t="shared" ref="H23:H28" si="0">SUMPRODUCT(A23:C23,E23:G23)</f>
        <v>9.8717928267452493</v>
      </c>
    </row>
    <row r="24" spans="1:9" x14ac:dyDescent="0.3">
      <c r="A24" s="7">
        <v>1</v>
      </c>
      <c r="B24" s="7">
        <v>120</v>
      </c>
      <c r="C24" s="7">
        <v>4</v>
      </c>
      <c r="D24" s="10">
        <v>10.162698140472378</v>
      </c>
      <c r="E24" s="7">
        <v>-6.9772757541572545</v>
      </c>
      <c r="F24" s="7">
        <v>7.0839518666176451E-2</v>
      </c>
      <c r="G24" s="7">
        <v>2.0743802603253458</v>
      </c>
      <c r="H24" s="7">
        <f t="shared" si="0"/>
        <v>9.8209875270853022</v>
      </c>
    </row>
    <row r="25" spans="1:9" x14ac:dyDescent="0.3">
      <c r="A25" s="7">
        <v>1</v>
      </c>
      <c r="B25" s="7">
        <v>100</v>
      </c>
      <c r="C25" s="7">
        <v>5</v>
      </c>
      <c r="D25" s="10">
        <v>10.889444888198959</v>
      </c>
      <c r="E25" s="7">
        <v>-6.9772757541572545</v>
      </c>
      <c r="F25" s="7">
        <v>7.0839518666176451E-2</v>
      </c>
      <c r="G25" s="7">
        <v>2.0743802603253458</v>
      </c>
      <c r="H25" s="7">
        <f t="shared" si="0"/>
        <v>10.47857741408712</v>
      </c>
    </row>
    <row r="26" spans="1:9" x14ac:dyDescent="0.3">
      <c r="A26" s="7">
        <v>1</v>
      </c>
      <c r="B26" s="7">
        <v>80</v>
      </c>
      <c r="C26" s="7">
        <v>6</v>
      </c>
      <c r="D26" s="10">
        <v>10.207181811643041</v>
      </c>
      <c r="E26" s="7">
        <v>-6.9772757541572545</v>
      </c>
      <c r="F26" s="7">
        <v>7.0839518666176451E-2</v>
      </c>
      <c r="G26" s="7">
        <v>2.0743802603253458</v>
      </c>
      <c r="H26" s="7">
        <f t="shared" si="0"/>
        <v>11.136167301088935</v>
      </c>
    </row>
    <row r="27" spans="1:9" x14ac:dyDescent="0.3">
      <c r="A27" s="7">
        <v>1</v>
      </c>
      <c r="B27" s="7">
        <v>100</v>
      </c>
      <c r="C27" s="7">
        <v>5</v>
      </c>
      <c r="D27" s="10">
        <v>10.851869375521689</v>
      </c>
      <c r="E27" s="7">
        <v>-6.9772757541572545</v>
      </c>
      <c r="F27" s="7">
        <v>7.0839518666176451E-2</v>
      </c>
      <c r="G27" s="7">
        <v>2.0743802603253458</v>
      </c>
      <c r="H27" s="7">
        <f t="shared" si="0"/>
        <v>10.47857741408712</v>
      </c>
    </row>
    <row r="28" spans="1:9" x14ac:dyDescent="0.3">
      <c r="A28" s="7">
        <v>1</v>
      </c>
      <c r="B28" s="7">
        <v>180</v>
      </c>
      <c r="C28" s="7">
        <v>4</v>
      </c>
      <c r="D28" s="10">
        <v>14.948285630912647</v>
      </c>
      <c r="E28" s="7">
        <v>-6.9772757541572545</v>
      </c>
      <c r="F28" s="7">
        <v>7.0839518666176451E-2</v>
      </c>
      <c r="G28" s="7">
        <v>2.0743802603253458</v>
      </c>
      <c r="H28" s="7">
        <f t="shared" si="0"/>
        <v>14.07135864705589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MLR_1</vt:lpstr>
      <vt:lpstr>MLR_2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2022-07-11T02:33:56Z</dcterms:modified>
</cp:coreProperties>
</file>